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udit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&quot;K&quot;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1F2A44"/>
      <sz val="16"/>
    </font>
    <font>
      <b val="1"/>
      <color rgb="00FFFFFF"/>
    </font>
    <font>
      <b val="1"/>
      <color rgb="001F2A44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E8ED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164" fontId="0" fillId="0" borderId="0" pivotButton="0" quotePrefix="0" xfId="0"/>
    <xf numFmtId="165" fontId="0" fillId="0" borderId="0" pivotButton="0" quotePrefix="0" xfId="0"/>
    <xf numFmtId="0" fontId="3" fillId="3" borderId="0" pivotButton="0" quotePrefix="0" xfId="0"/>
    <xf numFmtId="164" fontId="3" fillId="3" borderId="0" pivotButton="0" quotePrefix="0" xfId="0"/>
    <xf numFmtId="165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1" customWidth="1" min="3" max="3"/>
    <col width="12" customWidth="1" min="4" max="4"/>
    <col width="11" customWidth="1" min="5" max="5"/>
    <col width="9" customWidth="1" min="6" max="6"/>
    <col width="11" customWidth="1" min="7" max="7"/>
    <col width="12" customWidth="1" min="8" max="8"/>
    <col width="11" customWidth="1" min="9" max="9"/>
    <col width="13" customWidth="1" min="10" max="10"/>
    <col width="14" customWidth="1" min="11" max="11"/>
  </cols>
  <sheetData>
    <row r="1">
      <c r="A1" s="1" t="inlineStr">
        <is>
          <t>Q3 2026 Commission Dashboard</t>
        </is>
      </c>
    </row>
    <row r="3">
      <c r="A3" s="2" t="inlineStr">
        <is>
          <t>Rep</t>
        </is>
      </c>
      <c r="B3" s="2" t="inlineStr">
        <is>
          <t>Role</t>
        </is>
      </c>
      <c r="C3" s="2" t="inlineStr">
        <is>
          <t>Quota ($K)</t>
        </is>
      </c>
      <c r="D3" s="2" t="inlineStr">
        <is>
          <t>Revenue ($K)</t>
        </is>
      </c>
      <c r="E3" s="2" t="inlineStr">
        <is>
          <t>Attainment</t>
        </is>
      </c>
      <c r="F3" s="2" t="inlineStr">
        <is>
          <t>Tier rate</t>
        </is>
      </c>
      <c r="G3" s="2" t="inlineStr">
        <is>
          <t>Earned ($K)</t>
        </is>
      </c>
      <c r="H3" s="2" t="inlineStr">
        <is>
          <t>Advances ($K)</t>
        </is>
      </c>
      <c r="I3" s="2" t="inlineStr">
        <is>
          <t>True-up ($K)</t>
        </is>
      </c>
      <c r="J3" s="2" t="inlineStr">
        <is>
          <t>Flat + bonus ($K)</t>
        </is>
      </c>
      <c r="K3" s="2" t="inlineStr">
        <is>
          <t>Total payout ($K)</t>
        </is>
      </c>
    </row>
    <row r="4">
      <c r="A4" t="inlineStr">
        <is>
          <t>Avery Brooks</t>
        </is>
      </c>
      <c r="B4" t="inlineStr">
        <is>
          <t>AE</t>
        </is>
      </c>
      <c r="C4" s="3" t="n">
        <v>240</v>
      </c>
      <c r="D4" s="3" t="n">
        <v>168</v>
      </c>
      <c r="E4" s="4" t="n">
        <v>0.7</v>
      </c>
      <c r="F4" s="4" t="n">
        <v>0.07000000000000001</v>
      </c>
      <c r="G4" s="3" t="n">
        <v>11.76</v>
      </c>
      <c r="H4" s="3" t="n">
        <v>10.98</v>
      </c>
      <c r="I4" s="3" t="n">
        <v>0.7800000000000018</v>
      </c>
      <c r="J4" s="3" t="n">
        <v>2</v>
      </c>
      <c r="K4" s="3">
        <f>G4+J4</f>
        <v/>
      </c>
    </row>
    <row r="5">
      <c r="A5" t="inlineStr">
        <is>
          <t>Riley Chen</t>
        </is>
      </c>
      <c r="B5" t="inlineStr">
        <is>
          <t>AE</t>
        </is>
      </c>
      <c r="C5" s="3" t="n">
        <v>240</v>
      </c>
      <c r="D5" s="3" t="n">
        <v>247.5</v>
      </c>
      <c r="E5" s="4" t="n">
        <v>1.03125</v>
      </c>
      <c r="F5" s="4" t="n">
        <v>0.12</v>
      </c>
      <c r="G5" s="3" t="n">
        <v>29.7</v>
      </c>
      <c r="H5" s="3" t="n">
        <v>23</v>
      </c>
      <c r="I5" s="3" t="n">
        <v>6.7</v>
      </c>
      <c r="J5" s="3" t="n">
        <v>0</v>
      </c>
      <c r="K5" s="3">
        <f>G5+J5</f>
        <v/>
      </c>
    </row>
    <row r="6">
      <c r="A6" t="inlineStr">
        <is>
          <t>Jamie Patel</t>
        </is>
      </c>
      <c r="B6" t="inlineStr">
        <is>
          <t>AE</t>
        </is>
      </c>
      <c r="C6" s="3" t="n">
        <v>240</v>
      </c>
      <c r="D6" s="3" t="n">
        <v>200.3</v>
      </c>
      <c r="E6" s="4" t="n">
        <v>0.8345833333333333</v>
      </c>
      <c r="F6" s="4" t="n">
        <v>0.12</v>
      </c>
      <c r="G6" s="3" t="n">
        <v>24.036</v>
      </c>
      <c r="H6" s="3" t="n">
        <v>12.293</v>
      </c>
      <c r="I6" s="3" t="n">
        <v>11.743</v>
      </c>
      <c r="J6" s="3" t="n">
        <v>2</v>
      </c>
      <c r="K6" s="3">
        <f>G6+J6</f>
        <v/>
      </c>
    </row>
    <row r="7">
      <c r="A7" t="inlineStr">
        <is>
          <t>Quinn Foster</t>
        </is>
      </c>
      <c r="B7" t="inlineStr">
        <is>
          <t>AE_RAMP</t>
        </is>
      </c>
      <c r="C7" s="3" t="n">
        <v>90</v>
      </c>
      <c r="D7" s="3" t="n">
        <v>91.8</v>
      </c>
      <c r="E7" s="4" t="n">
        <v>1.02</v>
      </c>
      <c r="F7" s="4" t="n">
        <v>0.12</v>
      </c>
      <c r="G7" s="3" t="n">
        <v>11.016</v>
      </c>
      <c r="H7" s="3" t="n">
        <v>7.176</v>
      </c>
      <c r="I7" s="3" t="n">
        <v>3.84</v>
      </c>
      <c r="J7" s="3" t="n">
        <v>0</v>
      </c>
      <c r="K7" s="3">
        <f>G7+J7</f>
        <v/>
      </c>
    </row>
    <row r="8">
      <c r="A8" t="inlineStr">
        <is>
          <t>Taylor Reyes</t>
        </is>
      </c>
      <c r="B8" t="inlineStr">
        <is>
          <t>INSIDE</t>
        </is>
      </c>
      <c r="C8" s="3" t="n">
        <v>200</v>
      </c>
      <c r="D8" s="3" t="n">
        <v>149.2</v>
      </c>
      <c r="E8" s="4" t="n">
        <v>0.746</v>
      </c>
      <c r="F8" s="4" t="n">
        <v>0.07000000000000001</v>
      </c>
      <c r="G8" s="3" t="n">
        <v>10.444</v>
      </c>
      <c r="H8" s="3" t="n">
        <v>14.316</v>
      </c>
      <c r="I8" s="3" t="n">
        <v>-3.871999999999998</v>
      </c>
      <c r="J8" s="3" t="n">
        <v>6.5</v>
      </c>
      <c r="K8" s="3">
        <f>G8+J8</f>
        <v/>
      </c>
    </row>
    <row r="9">
      <c r="A9" t="inlineStr">
        <is>
          <t>Casey Kim</t>
        </is>
      </c>
      <c r="B9" t="inlineStr">
        <is>
          <t>INSIDE</t>
        </is>
      </c>
      <c r="C9" s="3" t="n">
        <v>200</v>
      </c>
      <c r="D9" s="3" t="n">
        <v>204.8</v>
      </c>
      <c r="E9" s="4" t="n">
        <v>1.024</v>
      </c>
      <c r="F9" s="4" t="n">
        <v>0.12</v>
      </c>
      <c r="G9" s="3" t="n">
        <v>24.576</v>
      </c>
      <c r="H9" s="3" t="n">
        <v>9.667999999999999</v>
      </c>
      <c r="I9" s="3" t="n">
        <v>14.908</v>
      </c>
      <c r="J9" s="3" t="n">
        <v>4</v>
      </c>
      <c r="K9" s="3">
        <f>G9+J9</f>
        <v/>
      </c>
    </row>
    <row r="10">
      <c r="A10" t="inlineStr">
        <is>
          <t>Drew Santos</t>
        </is>
      </c>
      <c r="B10" t="inlineStr">
        <is>
          <t>ACCOUNT_MGR</t>
        </is>
      </c>
      <c r="C10" s="3" t="n">
        <v>250</v>
      </c>
      <c r="D10" s="3" t="n">
        <v>223.21023</v>
      </c>
      <c r="E10" s="4" t="n">
        <v>0.8928409199999999</v>
      </c>
      <c r="F10" s="4" t="n">
        <v>0.1</v>
      </c>
      <c r="G10" s="3" t="n">
        <v>22.321023</v>
      </c>
      <c r="H10" s="3" t="n">
        <v>0</v>
      </c>
      <c r="I10" s="3" t="n">
        <v>22.321023</v>
      </c>
      <c r="J10" s="3" t="n">
        <v>0</v>
      </c>
      <c r="K10" s="3">
        <f>G10+J10</f>
        <v/>
      </c>
    </row>
    <row r="11">
      <c r="A11" t="inlineStr">
        <is>
          <t>Skyler Ward</t>
        </is>
      </c>
      <c r="B11" t="inlineStr">
        <is>
          <t>ACCOUNT_MGR</t>
        </is>
      </c>
      <c r="C11" s="3" t="n">
        <v>250</v>
      </c>
      <c r="D11" s="3" t="n">
        <v>188.09546</v>
      </c>
      <c r="E11" s="4" t="n">
        <v>0.75238184</v>
      </c>
      <c r="F11" s="4" t="n">
        <v>0.1</v>
      </c>
      <c r="G11" s="3" t="n">
        <v>18.809546</v>
      </c>
      <c r="H11" s="3" t="n">
        <v>0</v>
      </c>
      <c r="I11" s="3" t="n">
        <v>18.809546</v>
      </c>
      <c r="J11" s="3" t="n">
        <v>0</v>
      </c>
      <c r="K11" s="3">
        <f>G11+J11</f>
        <v/>
      </c>
    </row>
    <row r="12">
      <c r="A12" t="inlineStr">
        <is>
          <t>Morgan Hale</t>
        </is>
      </c>
      <c r="B12" t="inlineStr">
        <is>
          <t>DIRECTOR</t>
        </is>
      </c>
      <c r="C12" s="3" t="n">
        <v>1300</v>
      </c>
      <c r="D12" s="3" t="n">
        <v>1492.4475</v>
      </c>
      <c r="E12" s="4" t="n">
        <v>1.148036538461539</v>
      </c>
      <c r="F12" s="4" t="n"/>
      <c r="G12" s="3" t="n">
        <v>33.17433846153846</v>
      </c>
      <c r="H12" s="3" t="n">
        <v>0</v>
      </c>
      <c r="I12" s="3" t="n">
        <v>33.17433846153846</v>
      </c>
      <c r="J12" s="3" t="n">
        <v>0</v>
      </c>
      <c r="K12" s="3">
        <f>G12+J12</f>
        <v/>
      </c>
    </row>
    <row r="13">
      <c r="A13" s="5" t="inlineStr">
        <is>
          <t>Total</t>
        </is>
      </c>
      <c r="B13" s="5" t="inlineStr"/>
      <c r="C13" s="6">
        <f>SUM(C4:C12)</f>
        <v/>
      </c>
      <c r="D13" s="6">
        <f>SUM(D4:D12)</f>
        <v/>
      </c>
      <c r="E13" s="7" t="inlineStr"/>
      <c r="F13" s="7" t="inlineStr"/>
      <c r="G13" s="6">
        <f>SUM(G4:G12)</f>
        <v/>
      </c>
      <c r="H13" s="6">
        <f>SUM(H4:H12)</f>
        <v/>
      </c>
      <c r="I13" s="6">
        <f>SUM(I4:I12)</f>
        <v/>
      </c>
      <c r="J13" s="6">
        <f>SUM(J4:J12)</f>
        <v/>
      </c>
      <c r="K13" s="6">
        <f>SUM(K4:K12)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t="inlineStr">
        <is>
          <t>Rep</t>
        </is>
      </c>
      <c r="B1" t="inlineStr">
        <is>
          <t>Note</t>
        </is>
      </c>
    </row>
    <row r="2">
      <c r="A2" t="inlineStr">
        <is>
          <t>Avery Brooks</t>
        </is>
      </c>
      <c r="B2" t="inlineStr">
        <is>
          <t>D-1001: IFS deposit 5,000 -&gt; flat 2,000, no quota credit</t>
        </is>
      </c>
    </row>
    <row r="3">
      <c r="A3" t="inlineStr">
        <is>
          <t>Avery Brooks</t>
        </is>
      </c>
      <c r="B3" t="inlineStr">
        <is>
          <t>D-1002: IFS deposit 1,500 -&gt; no commission</t>
        </is>
      </c>
    </row>
    <row r="4">
      <c r="A4" t="inlineStr">
        <is>
          <t>Avery Brooks</t>
        </is>
      </c>
      <c r="B4" t="inlineStr">
        <is>
          <t>D-1006: IFS deposit 1,500 -&gt; no commission</t>
        </is>
      </c>
    </row>
    <row r="5">
      <c r="A5" t="inlineStr">
        <is>
          <t>Jamie Patel</t>
        </is>
      </c>
      <c r="B5" t="inlineStr">
        <is>
          <t>D-1021: IFS deposit 1,500 -&gt; no commission</t>
        </is>
      </c>
    </row>
    <row r="6">
      <c r="A6" t="inlineStr">
        <is>
          <t>Jamie Patel</t>
        </is>
      </c>
      <c r="B6" t="inlineStr">
        <is>
          <t>D-1027: IFS deposit 5,000 -&gt; flat 2,000, no quota credit</t>
        </is>
      </c>
    </row>
    <row r="7">
      <c r="A7" t="inlineStr">
        <is>
          <t>Taylor Reyes</t>
        </is>
      </c>
      <c r="B7" t="inlineStr">
        <is>
          <t>D-1031: IFS deposit 5,000 -&gt; flat 2,000, no quota credit</t>
        </is>
      </c>
    </row>
    <row r="8">
      <c r="A8" t="inlineStr">
        <is>
          <t>Taylor Reyes</t>
        </is>
      </c>
      <c r="B8" t="inlineStr">
        <is>
          <t>D-1035: IFS deposit 5,000 -&gt; flat 2,000, no quota credit</t>
        </is>
      </c>
    </row>
    <row r="9">
      <c r="A9" t="inlineStr">
        <is>
          <t>Taylor Reyes</t>
        </is>
      </c>
      <c r="B9" t="inlineStr">
        <is>
          <t>D-1036: IFS deposit 1,500 -&gt; no commission</t>
        </is>
      </c>
    </row>
    <row r="10">
      <c r="A10" t="inlineStr">
        <is>
          <t>Taylor Reyes</t>
        </is>
      </c>
      <c r="B10" t="inlineStr">
        <is>
          <t>fast-MQL bonus: 2,500</t>
        </is>
      </c>
    </row>
    <row r="11">
      <c r="A11" t="inlineStr">
        <is>
          <t>Taylor Reyes</t>
        </is>
      </c>
      <c r="B11" t="inlineStr">
        <is>
          <t>true-up negative (-3,872.00): advances exceeded quarter earnings</t>
        </is>
      </c>
    </row>
    <row r="12">
      <c r="A12" t="inlineStr">
        <is>
          <t>Casey Kim</t>
        </is>
      </c>
      <c r="B12" t="inlineStr">
        <is>
          <t>D-1040: IFS deposit 9,000 -&gt; full credit</t>
        </is>
      </c>
    </row>
    <row r="13">
      <c r="A13" t="inlineStr">
        <is>
          <t>Casey Kim</t>
        </is>
      </c>
      <c r="B13" t="inlineStr">
        <is>
          <t>D-1043: IFS deposit 5,000 -&gt; flat 2,000, no quota credit</t>
        </is>
      </c>
    </row>
    <row r="14">
      <c r="A14" t="inlineStr">
        <is>
          <t>Casey Kim</t>
        </is>
      </c>
      <c r="B14" t="inlineStr">
        <is>
          <t>D-1046: IFS deposit 9,000 -&gt; full credit</t>
        </is>
      </c>
    </row>
    <row r="15">
      <c r="A15" t="inlineStr">
        <is>
          <t>Casey Kim</t>
        </is>
      </c>
      <c r="B15" t="inlineStr">
        <is>
          <t>fast-MQL bonus: 2,000</t>
        </is>
      </c>
    </row>
    <row r="16">
      <c r="A16" t="inlineStr">
        <is>
          <t>Morgan Hale</t>
        </is>
      </c>
      <c r="B16" t="inlineStr">
        <is>
          <t>D-1001: IFS deposit 5,000 -&gt; flat 2,000, no quota credit</t>
        </is>
      </c>
    </row>
    <row r="17">
      <c r="A17" t="inlineStr">
        <is>
          <t>Morgan Hale</t>
        </is>
      </c>
      <c r="B17" t="inlineStr">
        <is>
          <t>D-1002: IFS deposit 1,500 -&gt; no commission</t>
        </is>
      </c>
    </row>
    <row r="18">
      <c r="A18" t="inlineStr">
        <is>
          <t>Morgan Hale</t>
        </is>
      </c>
      <c r="B18" t="inlineStr">
        <is>
          <t>D-1006: IFS deposit 1,500 -&gt; no commission</t>
        </is>
      </c>
    </row>
    <row r="19">
      <c r="A19" t="inlineStr">
        <is>
          <t>Morgan Hale</t>
        </is>
      </c>
      <c r="B19" t="inlineStr">
        <is>
          <t>D-1021: IFS deposit 1,500 -&gt; no commission</t>
        </is>
      </c>
    </row>
    <row r="20">
      <c r="A20" t="inlineStr">
        <is>
          <t>Morgan Hale</t>
        </is>
      </c>
      <c r="B20" t="inlineStr">
        <is>
          <t>D-1027: IFS deposit 5,000 -&gt; flat 2,000, no quota credit</t>
        </is>
      </c>
    </row>
    <row r="21">
      <c r="A21" t="inlineStr">
        <is>
          <t>Morgan Hale</t>
        </is>
      </c>
      <c r="B21" t="inlineStr">
        <is>
          <t>D-1031: IFS deposit 5,000 -&gt; flat 2,000, no quota credit</t>
        </is>
      </c>
    </row>
    <row r="22">
      <c r="A22" t="inlineStr">
        <is>
          <t>Morgan Hale</t>
        </is>
      </c>
      <c r="B22" t="inlineStr">
        <is>
          <t>D-1035: IFS deposit 5,000 -&gt; flat 2,000, no quota credit</t>
        </is>
      </c>
    </row>
    <row r="23">
      <c r="A23" t="inlineStr">
        <is>
          <t>Morgan Hale</t>
        </is>
      </c>
      <c r="B23" t="inlineStr">
        <is>
          <t>D-1036: IFS deposit 1,500 -&gt; no commission</t>
        </is>
      </c>
    </row>
    <row r="24">
      <c r="A24" t="inlineStr">
        <is>
          <t>Morgan Hale</t>
        </is>
      </c>
      <c r="B24" t="inlineStr">
        <is>
          <t>D-1040: IFS deposit 9,000 -&gt; full credit</t>
        </is>
      </c>
    </row>
    <row r="25">
      <c r="A25" t="inlineStr">
        <is>
          <t>Morgan Hale</t>
        </is>
      </c>
      <c r="B25" t="inlineStr">
        <is>
          <t>D-1043: IFS deposit 5,000 -&gt; flat 2,000, no quota credit</t>
        </is>
      </c>
    </row>
    <row r="26">
      <c r="A26" t="inlineStr">
        <is>
          <t>Morgan Hale</t>
        </is>
      </c>
      <c r="B26" t="inlineStr">
        <is>
          <t>D-1046: IFS deposit 9,000 -&gt; full credit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2026-10-26T04:26:47Z</dcterms:created>
  <dcterms:modified xmlns:dcterms="http://purl.org/dc/terms/" xmlns:xsi="http://www.w3.org/2001/XMLSchema-instance" xsi:type="dcterms:W3CDTF">2026-10-26T04:26:47Z</dcterms:modified>
</cp:coreProperties>
</file>